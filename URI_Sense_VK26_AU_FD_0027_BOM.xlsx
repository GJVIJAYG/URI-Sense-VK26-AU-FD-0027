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board BOM" sheetId="1" state="visible" r:id="rId1"/>
    <sheet xmlns:r="http://schemas.openxmlformats.org/officeDocument/2006/relationships" name="Optical Daughterboard BOM" sheetId="2" state="visible" r:id="rId2"/>
    <sheet xmlns:r="http://schemas.openxmlformats.org/officeDocument/2006/relationships" name="System Cost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"/>
  </numFmts>
  <fonts count="6">
    <font>
      <name val="Calibri"/>
      <family val="2"/>
      <color theme="1"/>
      <sz val="11"/>
      <scheme val="minor"/>
    </font>
    <font>
      <name val="Calibri"/>
      <b val="1"/>
      <color rgb="001F4E79"/>
      <sz val="15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  <fill>
      <patternFill patternType="solid">
        <fgColor rgb="00D9E1F2"/>
        <bgColor rgb="00D9E1F2"/>
      </patternFill>
    </fill>
    <fill>
      <patternFill patternType="solid">
        <fgColor rgb="00BDD7EE"/>
        <bgColor rgb="00BDD7EE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/>
    </xf>
    <xf numFmtId="0" fontId="4" fillId="0" borderId="1" applyAlignment="1" pivotButton="0" quotePrefix="0" xfId="0">
      <alignment horizontal="left"/>
    </xf>
    <xf numFmtId="164" fontId="4" fillId="0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4" fillId="3" borderId="1" applyAlignment="1" pivotButton="0" quotePrefix="0" xfId="0">
      <alignment horizontal="left"/>
    </xf>
    <xf numFmtId="164" fontId="4" fillId="3" borderId="1" applyAlignment="1" pivotButton="0" quotePrefix="0" xfId="0">
      <alignment horizontal="right"/>
    </xf>
    <xf numFmtId="0" fontId="5" fillId="4" borderId="0" applyAlignment="1" pivotButton="0" quotePrefix="0" xfId="0">
      <alignment horizontal="right" vertical="center"/>
    </xf>
    <xf numFmtId="164" fontId="5" fillId="4" borderId="2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0" fontId="5" fillId="5" borderId="0" applyAlignment="1" pivotButton="0" quotePrefix="0" xfId="0">
      <alignment horizontal="right" vertical="center"/>
    </xf>
    <xf numFmtId="164" fontId="5" fillId="5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60" customWidth="1" min="3" max="3"/>
    <col width="34" customWidth="1" min="4" max="4"/>
    <col width="29" customWidth="1" min="5" max="5"/>
    <col width="22" customWidth="1" min="6" max="6"/>
    <col width="12" customWidth="1" min="7" max="7"/>
    <col width="19" customWidth="1" min="8" max="8"/>
    <col width="20" customWidth="1" min="9" max="9"/>
  </cols>
  <sheetData>
    <row r="1">
      <c r="A1" s="1" t="inlineStr">
        <is>
          <t>URI SENSE - MAINBOARD BILL OF MATERIALS (BOM)</t>
        </is>
      </c>
    </row>
    <row r="2">
      <c r="A2" s="2" t="inlineStr">
        <is>
          <t>Project ID: VK26-AU-FD-0027 | Architecture: ESP32-S3 Core &amp; Actuator Hub | Stage 2 Audit</t>
        </is>
      </c>
    </row>
    <row r="3"/>
    <row r="4">
      <c r="A4" s="3" t="inlineStr">
        <is>
          <t>Item #</t>
        </is>
      </c>
      <c r="B4" s="3" t="inlineStr">
        <is>
          <t>Designator</t>
        </is>
      </c>
      <c r="C4" s="3" t="inlineStr">
        <is>
          <t>Component Description</t>
        </is>
      </c>
      <c r="D4" s="3" t="inlineStr">
        <is>
          <t>Manufacturer Part Number (MPN)</t>
        </is>
      </c>
      <c r="E4" s="3" t="inlineStr">
        <is>
          <t>Package / Footprint</t>
        </is>
      </c>
      <c r="F4" s="3" t="inlineStr">
        <is>
          <t>Manufacturer</t>
        </is>
      </c>
      <c r="G4" s="3" t="inlineStr">
        <is>
          <t>Qty</t>
        </is>
      </c>
      <c r="H4" s="3" t="inlineStr">
        <is>
          <t>Unit Cost (INR)</t>
        </is>
      </c>
      <c r="I4" s="3" t="inlineStr">
        <is>
          <t>Total Cost (INR)</t>
        </is>
      </c>
    </row>
    <row r="5">
      <c r="A5" s="4" t="n">
        <v>1</v>
      </c>
      <c r="B5" s="4" t="inlineStr">
        <is>
          <t>U1</t>
        </is>
      </c>
      <c r="C5" s="5" t="inlineStr">
        <is>
          <t>Wi-Fi + BLE Microcontroller IC</t>
        </is>
      </c>
      <c r="D5" s="5" t="inlineStr">
        <is>
          <t>ESP32-S3-WROOM-1-N8R8</t>
        </is>
      </c>
      <c r="E5" s="4" t="inlineStr">
        <is>
          <t>SMD Module 18x25.5mm</t>
        </is>
      </c>
      <c r="F5" s="5" t="inlineStr">
        <is>
          <t>Espressif Systems</t>
        </is>
      </c>
      <c r="G5" s="4" t="n">
        <v>1</v>
      </c>
      <c r="H5" s="6" t="n">
        <v>320</v>
      </c>
      <c r="I5" s="6">
        <f>G5*H5</f>
        <v/>
      </c>
    </row>
    <row r="6">
      <c r="A6" s="7" t="n">
        <v>2</v>
      </c>
      <c r="B6" s="7" t="inlineStr">
        <is>
          <t>U2</t>
        </is>
      </c>
      <c r="C6" s="8" t="inlineStr">
        <is>
          <t>1A Standalone Li-Ion Battery Charger</t>
        </is>
      </c>
      <c r="D6" s="8" t="inlineStr">
        <is>
          <t>TP4056</t>
        </is>
      </c>
      <c r="E6" s="7" t="inlineStr">
        <is>
          <t>SOP-8-EP</t>
        </is>
      </c>
      <c r="F6" s="8" t="inlineStr">
        <is>
          <t>NanJing Top Power</t>
        </is>
      </c>
      <c r="G6" s="7" t="n">
        <v>1</v>
      </c>
      <c r="H6" s="9" t="n">
        <v>18</v>
      </c>
      <c r="I6" s="9">
        <f>G6*H6</f>
        <v/>
      </c>
    </row>
    <row r="7">
      <c r="A7" s="4" t="n">
        <v>3</v>
      </c>
      <c r="B7" s="4" t="inlineStr">
        <is>
          <t>U3</t>
        </is>
      </c>
      <c r="C7" s="5" t="inlineStr">
        <is>
          <t>Ultra-Low-Noise 600mA LDO 3.3V</t>
        </is>
      </c>
      <c r="D7" s="5" t="inlineStr">
        <is>
          <t>AP2112K-3.3TRG1</t>
        </is>
      </c>
      <c r="E7" s="4" t="inlineStr">
        <is>
          <t>SOT-23-5</t>
        </is>
      </c>
      <c r="F7" s="5" t="inlineStr">
        <is>
          <t>Diodes Inc.</t>
        </is>
      </c>
      <c r="G7" s="4" t="n">
        <v>1</v>
      </c>
      <c r="H7" s="6" t="n">
        <v>24.5</v>
      </c>
      <c r="I7" s="6">
        <f>G7*H7</f>
        <v/>
      </c>
    </row>
    <row r="8">
      <c r="A8" s="7" t="n">
        <v>4</v>
      </c>
      <c r="B8" s="7" t="inlineStr">
        <is>
          <t>U4</t>
        </is>
      </c>
      <c r="C8" s="8" t="inlineStr">
        <is>
          <t>High-Efficiency 2A Step-Up DC-DC Converter</t>
        </is>
      </c>
      <c r="D8" s="8" t="inlineStr">
        <is>
          <t>MT3608</t>
        </is>
      </c>
      <c r="E8" s="7" t="inlineStr">
        <is>
          <t>SOT-23-6</t>
        </is>
      </c>
      <c r="F8" s="8" t="inlineStr">
        <is>
          <t>Aerosemi</t>
        </is>
      </c>
      <c r="G8" s="7" t="n">
        <v>1</v>
      </c>
      <c r="H8" s="9" t="n">
        <v>16</v>
      </c>
      <c r="I8" s="9">
        <f>G8*H8</f>
        <v/>
      </c>
    </row>
    <row r="9">
      <c r="A9" s="4" t="n">
        <v>5</v>
      </c>
      <c r="B9" s="4" t="inlineStr">
        <is>
          <t>U5</t>
        </is>
      </c>
      <c r="C9" s="5" t="inlineStr">
        <is>
          <t>Low Voltage H-Bridge Motor Driver IC</t>
        </is>
      </c>
      <c r="D9" s="5" t="inlineStr">
        <is>
          <t>DRV8837DSGR</t>
        </is>
      </c>
      <c r="E9" s="4" t="inlineStr">
        <is>
          <t>WSON-8 (2x2mm)</t>
        </is>
      </c>
      <c r="F9" s="5" t="inlineStr">
        <is>
          <t>Texas Instruments</t>
        </is>
      </c>
      <c r="G9" s="4" t="n">
        <v>1</v>
      </c>
      <c r="H9" s="6" t="n">
        <v>55</v>
      </c>
      <c r="I9" s="6">
        <f>G9*H9</f>
        <v/>
      </c>
    </row>
    <row r="10">
      <c r="A10" s="7" t="n">
        <v>6</v>
      </c>
      <c r="B10" s="7" t="inlineStr">
        <is>
          <t>Q1</t>
        </is>
      </c>
      <c r="C10" s="8" t="inlineStr">
        <is>
          <t>P-Channel Power MOSFET (-30V, -4.2A) Power-Path</t>
        </is>
      </c>
      <c r="D10" s="8" t="inlineStr">
        <is>
          <t>AO3401A</t>
        </is>
      </c>
      <c r="E10" s="7" t="inlineStr">
        <is>
          <t>SOT-23-3</t>
        </is>
      </c>
      <c r="F10" s="8" t="inlineStr">
        <is>
          <t>Alpha &amp; Omega Semi</t>
        </is>
      </c>
      <c r="G10" s="7" t="n">
        <v>1</v>
      </c>
      <c r="H10" s="9" t="n">
        <v>8.5</v>
      </c>
      <c r="I10" s="9">
        <f>G10*H10</f>
        <v/>
      </c>
    </row>
    <row r="11">
      <c r="A11" s="4" t="n">
        <v>7</v>
      </c>
      <c r="B11" s="4" t="inlineStr">
        <is>
          <t>Q2</t>
        </is>
      </c>
      <c r="C11" s="5" t="inlineStr">
        <is>
          <t>N-Channel Signal MOSFET (60V, 300mA) LED Sink</t>
        </is>
      </c>
      <c r="D11" s="5" t="inlineStr">
        <is>
          <t>2N7002</t>
        </is>
      </c>
      <c r="E11" s="4" t="inlineStr">
        <is>
          <t>SOT-23-3</t>
        </is>
      </c>
      <c r="F11" s="5" t="inlineStr">
        <is>
          <t>onsemi / Nexperia</t>
        </is>
      </c>
      <c r="G11" s="4" t="n">
        <v>1</v>
      </c>
      <c r="H11" s="6" t="n">
        <v>4.2</v>
      </c>
      <c r="I11" s="6">
        <f>G11*H11</f>
        <v/>
      </c>
    </row>
    <row r="12">
      <c r="A12" s="7" t="n">
        <v>8</v>
      </c>
      <c r="B12" s="7" t="inlineStr">
        <is>
          <t>D1</t>
        </is>
      </c>
      <c r="C12" s="8" t="inlineStr">
        <is>
          <t>Schottky Barrier Diode (20V, 0.5A) Power-Path</t>
        </is>
      </c>
      <c r="D12" s="8" t="inlineStr">
        <is>
          <t>MBR0520T1G</t>
        </is>
      </c>
      <c r="E12" s="7" t="inlineStr">
        <is>
          <t>SOD-123</t>
        </is>
      </c>
      <c r="F12" s="8" t="inlineStr">
        <is>
          <t>onsemi</t>
        </is>
      </c>
      <c r="G12" s="7" t="n">
        <v>1</v>
      </c>
      <c r="H12" s="9" t="n">
        <v>6</v>
      </c>
      <c r="I12" s="9">
        <f>G12*H12</f>
        <v/>
      </c>
    </row>
    <row r="13">
      <c r="A13" s="4" t="n">
        <v>9</v>
      </c>
      <c r="B13" s="4" t="inlineStr">
        <is>
          <t>D2</t>
        </is>
      </c>
      <c r="C13" s="5" t="inlineStr">
        <is>
          <t>Schottky Diode (40V, 3A) for MT3608 Boost</t>
        </is>
      </c>
      <c r="D13" s="5" t="inlineStr">
        <is>
          <t>SS34</t>
        </is>
      </c>
      <c r="E13" s="4" t="inlineStr">
        <is>
          <t>SMA / DO-214AC</t>
        </is>
      </c>
      <c r="F13" s="5" t="inlineStr">
        <is>
          <t>Vishay / MDD</t>
        </is>
      </c>
      <c r="G13" s="4" t="n">
        <v>1</v>
      </c>
      <c r="H13" s="6" t="n">
        <v>7.5</v>
      </c>
      <c r="I13" s="6">
        <f>G13*H13</f>
        <v/>
      </c>
    </row>
    <row r="14">
      <c r="A14" s="7" t="n">
        <v>10</v>
      </c>
      <c r="B14" s="7" t="inlineStr">
        <is>
          <t>D3</t>
        </is>
      </c>
      <c r="C14" s="8" t="inlineStr">
        <is>
          <t>TVS Protection Diode (5.0V Clamping) Motor Spike</t>
        </is>
      </c>
      <c r="D14" s="8" t="inlineStr">
        <is>
          <t>SMBJ5.0A</t>
        </is>
      </c>
      <c r="E14" s="7" t="inlineStr">
        <is>
          <t>SMB / DO-214AA</t>
        </is>
      </c>
      <c r="F14" s="8" t="inlineStr">
        <is>
          <t>Littelfuse</t>
        </is>
      </c>
      <c r="G14" s="7" t="n">
        <v>1</v>
      </c>
      <c r="H14" s="9" t="n">
        <v>12</v>
      </c>
      <c r="I14" s="9">
        <f>G14*H14</f>
        <v/>
      </c>
    </row>
    <row r="15">
      <c r="A15" s="4" t="n">
        <v>11</v>
      </c>
      <c r="B15" s="4" t="inlineStr">
        <is>
          <t>D4</t>
        </is>
      </c>
      <c r="C15" s="5" t="inlineStr">
        <is>
          <t>ESD Protection Diode Array (USB-C Lines)</t>
        </is>
      </c>
      <c r="D15" s="5" t="inlineStr">
        <is>
          <t>USBLC6-2SC6</t>
        </is>
      </c>
      <c r="E15" s="4" t="inlineStr">
        <is>
          <t>SOT-23-6</t>
        </is>
      </c>
      <c r="F15" s="5" t="inlineStr">
        <is>
          <t>STMicroelectronics</t>
        </is>
      </c>
      <c r="G15" s="4" t="n">
        <v>1</v>
      </c>
      <c r="H15" s="6" t="n">
        <v>14.5</v>
      </c>
      <c r="I15" s="6">
        <f>G15*H15</f>
        <v/>
      </c>
    </row>
    <row r="16">
      <c r="A16" s="7" t="n">
        <v>12</v>
      </c>
      <c r="B16" s="7" t="inlineStr">
        <is>
          <t>LED1</t>
        </is>
      </c>
      <c r="C16" s="8" t="inlineStr">
        <is>
          <t>SMD Status LED 0603 Red (Charging)</t>
        </is>
      </c>
      <c r="D16" s="8" t="inlineStr">
        <is>
          <t>C2286 (Red 0603)</t>
        </is>
      </c>
      <c r="E16" s="7" t="inlineStr">
        <is>
          <t>0603 Metric</t>
        </is>
      </c>
      <c r="F16" s="8" t="inlineStr">
        <is>
          <t>Everlight</t>
        </is>
      </c>
      <c r="G16" s="7" t="n">
        <v>1</v>
      </c>
      <c r="H16" s="9" t="n">
        <v>2.5</v>
      </c>
      <c r="I16" s="9">
        <f>G16*H16</f>
        <v/>
      </c>
    </row>
    <row r="17">
      <c r="A17" s="4" t="n">
        <v>13</v>
      </c>
      <c r="B17" s="4" t="inlineStr">
        <is>
          <t>LED2</t>
        </is>
      </c>
      <c r="C17" s="5" t="inlineStr">
        <is>
          <t>SMD Status LED 0603 Green (Full/Standby)</t>
        </is>
      </c>
      <c r="D17" s="5" t="inlineStr">
        <is>
          <t>C2288 (Green 0603)</t>
        </is>
      </c>
      <c r="E17" s="4" t="inlineStr">
        <is>
          <t>0603 Metric</t>
        </is>
      </c>
      <c r="F17" s="5" t="inlineStr">
        <is>
          <t>Everlight</t>
        </is>
      </c>
      <c r="G17" s="4" t="n">
        <v>1</v>
      </c>
      <c r="H17" s="6" t="n">
        <v>2.5</v>
      </c>
      <c r="I17" s="6">
        <f>G17*H17</f>
        <v/>
      </c>
    </row>
    <row r="18">
      <c r="A18" s="7" t="n">
        <v>14</v>
      </c>
      <c r="B18" s="7" t="inlineStr">
        <is>
          <t>LED3</t>
        </is>
      </c>
      <c r="C18" s="8" t="inlineStr">
        <is>
          <t>Smart Addressable RGB LED (System Status)</t>
        </is>
      </c>
      <c r="D18" s="8" t="inlineStr">
        <is>
          <t>WS2812B-2020</t>
        </is>
      </c>
      <c r="E18" s="7" t="inlineStr">
        <is>
          <t>2020 Metric</t>
        </is>
      </c>
      <c r="F18" s="8" t="inlineStr">
        <is>
          <t>Worldsemi</t>
        </is>
      </c>
      <c r="G18" s="7" t="n">
        <v>1</v>
      </c>
      <c r="H18" s="9" t="n">
        <v>11</v>
      </c>
      <c r="I18" s="9">
        <f>G18*H18</f>
        <v/>
      </c>
    </row>
    <row r="19">
      <c r="A19" s="4" t="n">
        <v>15</v>
      </c>
      <c r="B19" s="4" t="inlineStr">
        <is>
          <t>L1</t>
        </is>
      </c>
      <c r="C19" s="5" t="inlineStr">
        <is>
          <t>Shielded Power Inductor 22uH (Boost Circuit)</t>
        </is>
      </c>
      <c r="D19" s="5" t="inlineStr">
        <is>
          <t>NR4018-220M</t>
        </is>
      </c>
      <c r="E19" s="4" t="inlineStr">
        <is>
          <t>SMD 4.0x4.0mm</t>
        </is>
      </c>
      <c r="F19" s="5" t="inlineStr">
        <is>
          <t>Taiyo Yuden</t>
        </is>
      </c>
      <c r="G19" s="4" t="n">
        <v>1</v>
      </c>
      <c r="H19" s="6" t="n">
        <v>18</v>
      </c>
      <c r="I19" s="6">
        <f>G19*H19</f>
        <v/>
      </c>
    </row>
    <row r="20">
      <c r="A20" s="7" t="n">
        <v>16</v>
      </c>
      <c r="B20" s="7" t="inlineStr">
        <is>
          <t>FB1</t>
        </is>
      </c>
      <c r="C20" s="8" t="inlineStr">
        <is>
          <t>Ferrite Bead 600 Ohm @ 100MHz (Analog/Optic Filter)</t>
        </is>
      </c>
      <c r="D20" s="8" t="inlineStr">
        <is>
          <t>BLM18PG600SN1D</t>
        </is>
      </c>
      <c r="E20" s="7" t="inlineStr">
        <is>
          <t>0603 Metric</t>
        </is>
      </c>
      <c r="F20" s="8" t="inlineStr">
        <is>
          <t>Murata</t>
        </is>
      </c>
      <c r="G20" s="7" t="n">
        <v>1</v>
      </c>
      <c r="H20" s="9" t="n">
        <v>4.8</v>
      </c>
      <c r="I20" s="9">
        <f>G20*H20</f>
        <v/>
      </c>
    </row>
    <row r="21">
      <c r="A21" s="4" t="n">
        <v>17</v>
      </c>
      <c r="B21" s="4" t="inlineStr">
        <is>
          <t>R1, R2</t>
        </is>
      </c>
      <c r="C21" s="5" t="inlineStr">
        <is>
          <t>SMD Resistor 5.1k 1% (USB-C CC1/CC2 pulldown)</t>
        </is>
      </c>
      <c r="D21" s="5" t="inlineStr">
        <is>
          <t>RC0805FR-075K1L</t>
        </is>
      </c>
      <c r="E21" s="4" t="inlineStr">
        <is>
          <t>0805 Metric</t>
        </is>
      </c>
      <c r="F21" s="5" t="inlineStr">
        <is>
          <t>Yageo</t>
        </is>
      </c>
      <c r="G21" s="4" t="n">
        <v>2</v>
      </c>
      <c r="H21" s="6" t="n">
        <v>1.2</v>
      </c>
      <c r="I21" s="6">
        <f>G21*H21</f>
        <v/>
      </c>
    </row>
    <row r="22">
      <c r="A22" s="7" t="n">
        <v>18</v>
      </c>
      <c r="B22" s="7" t="inlineStr">
        <is>
          <t>R3</t>
        </is>
      </c>
      <c r="C22" s="8" t="inlineStr">
        <is>
          <t>SMD Resistor 1.2k 1% (TP4056 PROG 1A)</t>
        </is>
      </c>
      <c r="D22" s="8" t="inlineStr">
        <is>
          <t>RC0805FR-071K2L</t>
        </is>
      </c>
      <c r="E22" s="7" t="inlineStr">
        <is>
          <t>0805 Metric</t>
        </is>
      </c>
      <c r="F22" s="8" t="inlineStr">
        <is>
          <t>Yageo</t>
        </is>
      </c>
      <c r="G22" s="7" t="n">
        <v>1</v>
      </c>
      <c r="H22" s="9" t="n">
        <v>1.2</v>
      </c>
      <c r="I22" s="9">
        <f>G22*H22</f>
        <v/>
      </c>
    </row>
    <row r="23">
      <c r="A23" s="4" t="n">
        <v>19</v>
      </c>
      <c r="B23" s="4" t="inlineStr">
        <is>
          <t>R4</t>
        </is>
      </c>
      <c r="C23" s="5" t="inlineStr">
        <is>
          <t>SMD Resistor 100k 1% (Power-Path Gate Pull-Up)</t>
        </is>
      </c>
      <c r="D23" s="5" t="inlineStr">
        <is>
          <t>RC0805FR-07100KL</t>
        </is>
      </c>
      <c r="E23" s="4" t="inlineStr">
        <is>
          <t>0805 Metric</t>
        </is>
      </c>
      <c r="F23" s="5" t="inlineStr">
        <is>
          <t>Yageo</t>
        </is>
      </c>
      <c r="G23" s="4" t="n">
        <v>1</v>
      </c>
      <c r="H23" s="6" t="n">
        <v>1.2</v>
      </c>
      <c r="I23" s="6">
        <f>G23*H23</f>
        <v/>
      </c>
    </row>
    <row r="24">
      <c r="A24" s="7" t="n">
        <v>20</v>
      </c>
      <c r="B24" s="7" t="inlineStr">
        <is>
          <t>R5, R6</t>
        </is>
      </c>
      <c r="C24" s="8" t="inlineStr">
        <is>
          <t>SMD Resistor 10k 1% (CHIP_PU / BOOT Pull-Up)</t>
        </is>
      </c>
      <c r="D24" s="8" t="inlineStr">
        <is>
          <t>RC0805FR-0710KL</t>
        </is>
      </c>
      <c r="E24" s="7" t="inlineStr">
        <is>
          <t>0805 Metric</t>
        </is>
      </c>
      <c r="F24" s="8" t="inlineStr">
        <is>
          <t>Yageo</t>
        </is>
      </c>
      <c r="G24" s="7" t="n">
        <v>2</v>
      </c>
      <c r="H24" s="9" t="n">
        <v>1.2</v>
      </c>
      <c r="I24" s="9">
        <f>G24*H24</f>
        <v/>
      </c>
    </row>
    <row r="25">
      <c r="A25" s="4" t="n">
        <v>21</v>
      </c>
      <c r="B25" s="4" t="inlineStr">
        <is>
          <t>R7, R8</t>
        </is>
      </c>
      <c r="C25" s="5" t="inlineStr">
        <is>
          <t>SMD Resistor 4.7k 1% (I2C Bus Pull-Ups)</t>
        </is>
      </c>
      <c r="D25" s="5" t="inlineStr">
        <is>
          <t>RC0805FR-074K7L</t>
        </is>
      </c>
      <c r="E25" s="4" t="inlineStr">
        <is>
          <t>0805 Metric</t>
        </is>
      </c>
      <c r="F25" s="5" t="inlineStr">
        <is>
          <t>Yageo</t>
        </is>
      </c>
      <c r="G25" s="4" t="n">
        <v>2</v>
      </c>
      <c r="H25" s="6" t="n">
        <v>1.2</v>
      </c>
      <c r="I25" s="6">
        <f>G25*H25</f>
        <v/>
      </c>
    </row>
    <row r="26">
      <c r="A26" s="7" t="n">
        <v>22</v>
      </c>
      <c r="B26" s="7" t="inlineStr">
        <is>
          <t>R9</t>
        </is>
      </c>
      <c r="C26" s="8" t="inlineStr">
        <is>
          <t>Precision Current Sense Resistor 10 Ohm 1%</t>
        </is>
      </c>
      <c r="D26" s="8" t="inlineStr">
        <is>
          <t>RC0805FR-0710RL</t>
        </is>
      </c>
      <c r="E26" s="7" t="inlineStr">
        <is>
          <t>0805 Metric</t>
        </is>
      </c>
      <c r="F26" s="8" t="inlineStr">
        <is>
          <t>Yageo</t>
        </is>
      </c>
      <c r="G26" s="7" t="n">
        <v>1</v>
      </c>
      <c r="H26" s="9" t="n">
        <v>2</v>
      </c>
      <c r="I26" s="9">
        <f>G26*H26</f>
        <v/>
      </c>
    </row>
    <row r="27">
      <c r="A27" s="4" t="n">
        <v>23</v>
      </c>
      <c r="B27" s="4" t="inlineStr">
        <is>
          <t>R10</t>
        </is>
      </c>
      <c r="C27" s="5" t="inlineStr">
        <is>
          <t>SMD Resistor 1k 1% (Limit Switch Filter)</t>
        </is>
      </c>
      <c r="D27" s="5" t="inlineStr">
        <is>
          <t>RC0805FR-071KL</t>
        </is>
      </c>
      <c r="E27" s="4" t="inlineStr">
        <is>
          <t>0805 Metric</t>
        </is>
      </c>
      <c r="F27" s="5" t="inlineStr">
        <is>
          <t>Yageo</t>
        </is>
      </c>
      <c r="G27" s="4" t="n">
        <v>1</v>
      </c>
      <c r="H27" s="6" t="n">
        <v>1.2</v>
      </c>
      <c r="I27" s="6">
        <f>G27*H27</f>
        <v/>
      </c>
    </row>
    <row r="28">
      <c r="A28" s="7" t="n">
        <v>24</v>
      </c>
      <c r="B28" s="7" t="inlineStr">
        <is>
          <t>R11, R12</t>
        </is>
      </c>
      <c r="C28" s="8" t="inlineStr">
        <is>
          <t>SMD Resistor 1k 1% (Status LED Ballast)</t>
        </is>
      </c>
      <c r="D28" s="8" t="inlineStr">
        <is>
          <t>RC0805FR-071KL</t>
        </is>
      </c>
      <c r="E28" s="7" t="inlineStr">
        <is>
          <t>0805 Metric</t>
        </is>
      </c>
      <c r="F28" s="8" t="inlineStr">
        <is>
          <t>Yageo</t>
        </is>
      </c>
      <c r="G28" s="7" t="n">
        <v>2</v>
      </c>
      <c r="H28" s="9" t="n">
        <v>1.2</v>
      </c>
      <c r="I28" s="9">
        <f>G28*H28</f>
        <v/>
      </c>
    </row>
    <row r="29">
      <c r="A29" s="4" t="n">
        <v>25</v>
      </c>
      <c r="B29" s="4" t="inlineStr">
        <is>
          <t>C1, C2, C3</t>
        </is>
      </c>
      <c r="C29" s="5" t="inlineStr">
        <is>
          <t>Ceramic Capacitor 10uF 16V X5R (Regulator I/O)</t>
        </is>
      </c>
      <c r="D29" s="5" t="inlineStr">
        <is>
          <t>CL21A106KOQNNNE</t>
        </is>
      </c>
      <c r="E29" s="4" t="inlineStr">
        <is>
          <t>0805 Metric</t>
        </is>
      </c>
      <c r="F29" s="5" t="inlineStr">
        <is>
          <t>Samsung</t>
        </is>
      </c>
      <c r="G29" s="4" t="n">
        <v>3</v>
      </c>
      <c r="H29" s="6" t="n">
        <v>3.5</v>
      </c>
      <c r="I29" s="6">
        <f>G29*H29</f>
        <v/>
      </c>
    </row>
    <row r="30">
      <c r="A30" s="7" t="n">
        <v>26</v>
      </c>
      <c r="B30" s="7" t="inlineStr">
        <is>
          <t>C4</t>
        </is>
      </c>
      <c r="C30" s="8" t="inlineStr">
        <is>
          <t>Ceramic Capacitor 22uF 10V X5R (LDO Output)</t>
        </is>
      </c>
      <c r="D30" s="8" t="inlineStr">
        <is>
          <t>CL21A226MQQNNNE</t>
        </is>
      </c>
      <c r="E30" s="7" t="inlineStr">
        <is>
          <t>0805 Metric</t>
        </is>
      </c>
      <c r="F30" s="8" t="inlineStr">
        <is>
          <t>Samsung</t>
        </is>
      </c>
      <c r="G30" s="7" t="n">
        <v>1</v>
      </c>
      <c r="H30" s="9" t="n">
        <v>5</v>
      </c>
      <c r="I30" s="9">
        <f>G30*H30</f>
        <v/>
      </c>
    </row>
    <row r="31">
      <c r="A31" s="4" t="n">
        <v>27</v>
      </c>
      <c r="B31" s="4" t="inlineStr">
        <is>
          <t>C5, C6, C7</t>
        </is>
      </c>
      <c r="C31" s="5" t="inlineStr">
        <is>
          <t>Ceramic Capacitor 0.1uF (100nF) 50V X7R Decoupling</t>
        </is>
      </c>
      <c r="D31" s="5" t="inlineStr">
        <is>
          <t>CC0805KRX7R9BB104</t>
        </is>
      </c>
      <c r="E31" s="4" t="inlineStr">
        <is>
          <t>0805 Metric</t>
        </is>
      </c>
      <c r="F31" s="5" t="inlineStr">
        <is>
          <t>Yageo</t>
        </is>
      </c>
      <c r="G31" s="4" t="n">
        <v>3</v>
      </c>
      <c r="H31" s="6" t="n">
        <v>1.5</v>
      </c>
      <c r="I31" s="6">
        <f>G31*H31</f>
        <v/>
      </c>
    </row>
    <row r="32">
      <c r="A32" s="7" t="n">
        <v>28</v>
      </c>
      <c r="B32" s="7" t="inlineStr">
        <is>
          <t>C8</t>
        </is>
      </c>
      <c r="C32" s="8" t="inlineStr">
        <is>
          <t>Bulk Electrolytic/Tantalum Capacitor 47uF 16V (Motor VM)</t>
        </is>
      </c>
      <c r="D32" s="8" t="inlineStr">
        <is>
          <t>TCFG0J476M8R</t>
        </is>
      </c>
      <c r="E32" s="7" t="inlineStr">
        <is>
          <t>Case-B / 3528 Metric</t>
        </is>
      </c>
      <c r="F32" s="8" t="inlineStr">
        <is>
          <t>ROHM / Nichicon</t>
        </is>
      </c>
      <c r="G32" s="7" t="n">
        <v>1</v>
      </c>
      <c r="H32" s="9" t="n">
        <v>16</v>
      </c>
      <c r="I32" s="9">
        <f>G32*H32</f>
        <v/>
      </c>
    </row>
    <row r="33">
      <c r="A33" s="4" t="n">
        <v>29</v>
      </c>
      <c r="B33" s="4" t="inlineStr">
        <is>
          <t>C9</t>
        </is>
      </c>
      <c r="C33" s="5" t="inlineStr">
        <is>
          <t>Ceramic Capacitor 1uF 25V X7R (CHIP_PU Delay)</t>
        </is>
      </c>
      <c r="D33" s="5" t="inlineStr">
        <is>
          <t>CC0805KRX7R8BB105</t>
        </is>
      </c>
      <c r="E33" s="4" t="inlineStr">
        <is>
          <t>0805 Metric</t>
        </is>
      </c>
      <c r="F33" s="5" t="inlineStr">
        <is>
          <t>Yageo</t>
        </is>
      </c>
      <c r="G33" s="4" t="n">
        <v>1</v>
      </c>
      <c r="H33" s="6" t="n">
        <v>2.2</v>
      </c>
      <c r="I33" s="6">
        <f>G33*H33</f>
        <v/>
      </c>
    </row>
    <row r="34">
      <c r="A34" s="7" t="n">
        <v>30</v>
      </c>
      <c r="B34" s="7" t="inlineStr">
        <is>
          <t>SW1, SW2</t>
        </is>
      </c>
      <c r="C34" s="8" t="inlineStr">
        <is>
          <t>SMD Tactile Pushbutton 4-Pin (Reset &amp; Boot)</t>
        </is>
      </c>
      <c r="D34" s="8" t="inlineStr">
        <is>
          <t>PTS645SL43SMTR92</t>
        </is>
      </c>
      <c r="E34" s="7" t="inlineStr">
        <is>
          <t>6.0x6.0mm SMD</t>
        </is>
      </c>
      <c r="F34" s="8" t="inlineStr">
        <is>
          <t>C&amp;K</t>
        </is>
      </c>
      <c r="G34" s="7" t="n">
        <v>2</v>
      </c>
      <c r="H34" s="9" t="n">
        <v>7.5</v>
      </c>
      <c r="I34" s="9">
        <f>G34*H34</f>
        <v/>
      </c>
    </row>
    <row r="35">
      <c r="A35" s="4" t="n">
        <v>31</v>
      </c>
      <c r="B35" s="4" t="inlineStr">
        <is>
          <t>J1</t>
        </is>
      </c>
      <c r="C35" s="5" t="inlineStr">
        <is>
          <t>USB Type-C 16-Pin Receptacle (Power/Flash)</t>
        </is>
      </c>
      <c r="D35" s="5" t="inlineStr">
        <is>
          <t>TYPE-C-31-M-12</t>
        </is>
      </c>
      <c r="E35" s="4" t="inlineStr">
        <is>
          <t>SMD / Through-Hole Hybrid</t>
        </is>
      </c>
      <c r="F35" s="5" t="inlineStr">
        <is>
          <t>Korean Hroparts</t>
        </is>
      </c>
      <c r="G35" s="4" t="n">
        <v>1</v>
      </c>
      <c r="H35" s="6" t="n">
        <v>22</v>
      </c>
      <c r="I35" s="6">
        <f>G35*H35</f>
        <v/>
      </c>
    </row>
    <row r="36">
      <c r="A36" s="7" t="n">
        <v>32</v>
      </c>
      <c r="B36" s="7" t="inlineStr">
        <is>
          <t>J2</t>
        </is>
      </c>
      <c r="C36" s="8" t="inlineStr">
        <is>
          <t>JST-PH 2-Pin 2.0mm Pitch Shrouded Header (LiPo)</t>
        </is>
      </c>
      <c r="D36" s="8" t="inlineStr">
        <is>
          <t>B2B-PH-K-S</t>
        </is>
      </c>
      <c r="E36" s="7" t="inlineStr">
        <is>
          <t>2.0mm Through-Hole</t>
        </is>
      </c>
      <c r="F36" s="8" t="inlineStr">
        <is>
          <t>JST</t>
        </is>
      </c>
      <c r="G36" s="7" t="n">
        <v>1</v>
      </c>
      <c r="H36" s="9" t="n">
        <v>6.5</v>
      </c>
      <c r="I36" s="9">
        <f>G36*H36</f>
        <v/>
      </c>
    </row>
    <row r="37">
      <c r="A37" s="4" t="n">
        <v>33</v>
      </c>
      <c r="B37" s="4" t="inlineStr">
        <is>
          <t>J3</t>
        </is>
      </c>
      <c r="C37" s="5" t="inlineStr">
        <is>
          <t>JST-XH 2-Pin 2.5mm Pitch Header (N20 Actuator)</t>
        </is>
      </c>
      <c r="D37" s="5" t="inlineStr">
        <is>
          <t>B2B-XH-A</t>
        </is>
      </c>
      <c r="E37" s="4" t="inlineStr">
        <is>
          <t>2.5mm Through-Hole</t>
        </is>
      </c>
      <c r="F37" s="5" t="inlineStr">
        <is>
          <t>JST</t>
        </is>
      </c>
      <c r="G37" s="4" t="n">
        <v>1</v>
      </c>
      <c r="H37" s="6" t="n">
        <v>5</v>
      </c>
      <c r="I37" s="6">
        <f>G37*H37</f>
        <v/>
      </c>
    </row>
    <row r="38">
      <c r="A38" s="7" t="n">
        <v>34</v>
      </c>
      <c r="B38" s="7" t="inlineStr">
        <is>
          <t>J4</t>
        </is>
      </c>
      <c r="C38" s="8" t="inlineStr">
        <is>
          <t>JST-SH 6-Pin 1.0mm Pitch Locking Header (Sensor Head)</t>
        </is>
      </c>
      <c r="D38" s="8" t="inlineStr">
        <is>
          <t>SM06B-SRSS-TB</t>
        </is>
      </c>
      <c r="E38" s="7" t="inlineStr">
        <is>
          <t>1.0mm SMD Horizontal</t>
        </is>
      </c>
      <c r="F38" s="8" t="inlineStr">
        <is>
          <t>JST</t>
        </is>
      </c>
      <c r="G38" s="7" t="n">
        <v>1</v>
      </c>
      <c r="H38" s="9" t="n">
        <v>18.5</v>
      </c>
      <c r="I38" s="9">
        <f>G38*H38</f>
        <v/>
      </c>
    </row>
    <row r="39">
      <c r="A39" s="4" t="n">
        <v>35</v>
      </c>
      <c r="B39" s="4" t="inlineStr">
        <is>
          <t>J5</t>
        </is>
      </c>
      <c r="C39" s="5" t="inlineStr">
        <is>
          <t>JST-XH 3-Pin 2.5mm Pitch Header (Carriage Endstop)</t>
        </is>
      </c>
      <c r="D39" s="5" t="inlineStr">
        <is>
          <t>B3B-XH-A</t>
        </is>
      </c>
      <c r="E39" s="4" t="inlineStr">
        <is>
          <t>2.5mm Through-Hole</t>
        </is>
      </c>
      <c r="F39" s="5" t="inlineStr">
        <is>
          <t>JST</t>
        </is>
      </c>
      <c r="G39" s="4" t="n">
        <v>1</v>
      </c>
      <c r="H39" s="6" t="n">
        <v>6</v>
      </c>
      <c r="I39" s="6">
        <f>G39*H39</f>
        <v/>
      </c>
    </row>
    <row r="40">
      <c r="A40" s="7" t="n">
        <v>36</v>
      </c>
      <c r="B40" s="7" t="inlineStr">
        <is>
          <t>PCB1</t>
        </is>
      </c>
      <c r="C40" s="8" t="inlineStr">
        <is>
          <t>Custom 2-Layer FR4 Mainboard (65x50mm, 1oz Cu, ENIG)</t>
        </is>
      </c>
      <c r="D40" s="8" t="inlineStr">
        <is>
          <t>URI-MAIN-V2.0</t>
        </is>
      </c>
      <c r="E40" s="7" t="inlineStr">
        <is>
          <t>Custom PCB Fab</t>
        </is>
      </c>
      <c r="F40" s="8" t="inlineStr">
        <is>
          <t>JLCPCB / PCBWay</t>
        </is>
      </c>
      <c r="G40" s="7" t="n">
        <v>1</v>
      </c>
      <c r="H40" s="9" t="n">
        <v>140</v>
      </c>
      <c r="I40" s="9">
        <f>G40*H40</f>
        <v/>
      </c>
    </row>
    <row r="41">
      <c r="A41" s="10" t="inlineStr">
        <is>
          <t>SUBTOTAL HARDWARE FABRICATION &amp; ASSEMBLY COST</t>
        </is>
      </c>
      <c r="I41" s="11">
        <f>SUM(I5:I40)</f>
        <v/>
      </c>
    </row>
  </sheetData>
  <mergeCells count="3">
    <mergeCell ref="A41:H41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showGridLines="1" workbookViewId="0">
      <selection activeCell="A1" sqref="A1"/>
    </sheetView>
  </sheetViews>
  <sheetFormatPr baseColWidth="8" defaultRowHeight="15"/>
  <cols>
    <col width="49" customWidth="1" min="1" max="1"/>
    <col width="14" customWidth="1" min="2" max="2"/>
    <col width="69" customWidth="1" min="3" max="3"/>
    <col width="34" customWidth="1" min="4" max="4"/>
    <col width="26" customWidth="1" min="5" max="5"/>
    <col width="19" customWidth="1" min="6" max="6"/>
    <col width="12" customWidth="1" min="7" max="7"/>
    <col width="19" customWidth="1" min="8" max="8"/>
    <col width="20" customWidth="1" min="9" max="9"/>
  </cols>
  <sheetData>
    <row r="1">
      <c r="A1" s="1" t="inlineStr">
        <is>
          <t>URI SENSE - OPTICAL DAUGHTERBOARD BILL OF MATERIALS (BOM)</t>
        </is>
      </c>
    </row>
    <row r="2">
      <c r="A2" s="2" t="inlineStr">
        <is>
          <t>Project ID: VK26-AU-FD-0027 | Architecture: AS7341 Spectral Head &amp; High-CRI Emitter | Stage 2 Audit</t>
        </is>
      </c>
    </row>
    <row r="3"/>
    <row r="4">
      <c r="A4" s="3" t="inlineStr">
        <is>
          <t>Item #</t>
        </is>
      </c>
      <c r="B4" s="3" t="inlineStr">
        <is>
          <t>Designator</t>
        </is>
      </c>
      <c r="C4" s="3" t="inlineStr">
        <is>
          <t>Component Description</t>
        </is>
      </c>
      <c r="D4" s="3" t="inlineStr">
        <is>
          <t>Manufacturer Part Number (MPN)</t>
        </is>
      </c>
      <c r="E4" s="3" t="inlineStr">
        <is>
          <t>Package / Footprint</t>
        </is>
      </c>
      <c r="F4" s="3" t="inlineStr">
        <is>
          <t>Manufacturer</t>
        </is>
      </c>
      <c r="G4" s="3" t="inlineStr">
        <is>
          <t>Qty</t>
        </is>
      </c>
      <c r="H4" s="3" t="inlineStr">
        <is>
          <t>Unit Cost (INR)</t>
        </is>
      </c>
      <c r="I4" s="3" t="inlineStr">
        <is>
          <t>Total Cost (INR)</t>
        </is>
      </c>
    </row>
    <row r="5">
      <c r="A5" s="4" t="n">
        <v>1</v>
      </c>
      <c r="B5" s="4" t="inlineStr">
        <is>
          <t>U1</t>
        </is>
      </c>
      <c r="C5" s="5" t="inlineStr">
        <is>
          <t>11-Channel Spectral Color Sensor IC</t>
        </is>
      </c>
      <c r="D5" s="5" t="inlineStr">
        <is>
          <t>AS7341-DLGM</t>
        </is>
      </c>
      <c r="E5" s="4" t="inlineStr">
        <is>
          <t>LGA-16 (3.1x2.0x1.0mm)</t>
        </is>
      </c>
      <c r="F5" s="5" t="inlineStr">
        <is>
          <t>ams-OSRAM</t>
        </is>
      </c>
      <c r="G5" s="4" t="n">
        <v>1</v>
      </c>
      <c r="H5" s="6" t="n">
        <v>480</v>
      </c>
      <c r="I5" s="6">
        <f>G5*H5</f>
        <v/>
      </c>
    </row>
    <row r="6">
      <c r="A6" s="7" t="n">
        <v>2</v>
      </c>
      <c r="B6" s="7" t="inlineStr">
        <is>
          <t>LED1</t>
        </is>
      </c>
      <c r="C6" s="8" t="inlineStr">
        <is>
          <t>Broad-Spectrum Medical High-CRI White LED (5000K)</t>
        </is>
      </c>
      <c r="D6" s="8" t="inlineStr">
        <is>
          <t>LUXEON 2835C (95 CRI)</t>
        </is>
      </c>
      <c r="E6" s="7" t="inlineStr">
        <is>
          <t>2835 Metric SMD</t>
        </is>
      </c>
      <c r="F6" s="8" t="inlineStr">
        <is>
          <t>Lumileds</t>
        </is>
      </c>
      <c r="G6" s="7" t="n">
        <v>1</v>
      </c>
      <c r="H6" s="9" t="n">
        <v>18</v>
      </c>
      <c r="I6" s="9">
        <f>G6*H6</f>
        <v/>
      </c>
    </row>
    <row r="7">
      <c r="A7" s="4" t="n">
        <v>3</v>
      </c>
      <c r="B7" s="4" t="inlineStr">
        <is>
          <t>C1</t>
        </is>
      </c>
      <c r="C7" s="5" t="inlineStr">
        <is>
          <t>Ceramic Bypass Capacitor 1uF 16V X7R</t>
        </is>
      </c>
      <c r="D7" s="5" t="inlineStr">
        <is>
          <t>CC0603KRX7R7BB105</t>
        </is>
      </c>
      <c r="E7" s="4" t="inlineStr">
        <is>
          <t>0603 Metric</t>
        </is>
      </c>
      <c r="F7" s="5" t="inlineStr">
        <is>
          <t>Yageo</t>
        </is>
      </c>
      <c r="G7" s="4" t="n">
        <v>1</v>
      </c>
      <c r="H7" s="6" t="n">
        <v>2.5</v>
      </c>
      <c r="I7" s="6">
        <f>G7*H7</f>
        <v/>
      </c>
    </row>
    <row r="8">
      <c r="A8" s="7" t="n">
        <v>4</v>
      </c>
      <c r="B8" s="7" t="inlineStr">
        <is>
          <t>C2</t>
        </is>
      </c>
      <c r="C8" s="8" t="inlineStr">
        <is>
          <t>Ceramic Bypass Capacitor 0.1uF 50V X7R</t>
        </is>
      </c>
      <c r="D8" s="8" t="inlineStr">
        <is>
          <t>CC0603KRX7R9BB104</t>
        </is>
      </c>
      <c r="E8" s="7" t="inlineStr">
        <is>
          <t>0603 Metric</t>
        </is>
      </c>
      <c r="F8" s="8" t="inlineStr">
        <is>
          <t>Yageo</t>
        </is>
      </c>
      <c r="G8" s="7" t="n">
        <v>1</v>
      </c>
      <c r="H8" s="9" t="n">
        <v>1.5</v>
      </c>
      <c r="I8" s="9">
        <f>G8*H8</f>
        <v/>
      </c>
    </row>
    <row r="9">
      <c r="A9" s="4" t="n">
        <v>5</v>
      </c>
      <c r="B9" s="4" t="inlineStr">
        <is>
          <t>R1</t>
        </is>
      </c>
      <c r="C9" s="5" t="inlineStr">
        <is>
          <t>Precision LED Ballast / Current Limiter Resistor 22R</t>
        </is>
      </c>
      <c r="D9" s="5" t="inlineStr">
        <is>
          <t>RC0603FR-0722RL</t>
        </is>
      </c>
      <c r="E9" s="4" t="inlineStr">
        <is>
          <t>0603 Metric</t>
        </is>
      </c>
      <c r="F9" s="5" t="inlineStr">
        <is>
          <t>Yageo</t>
        </is>
      </c>
      <c r="G9" s="4" t="n">
        <v>1</v>
      </c>
      <c r="H9" s="6" t="n">
        <v>1.2</v>
      </c>
      <c r="I9" s="6">
        <f>G9*H9</f>
        <v/>
      </c>
    </row>
    <row r="10">
      <c r="A10" s="7" t="n">
        <v>6</v>
      </c>
      <c r="B10" s="7" t="inlineStr">
        <is>
          <t>J1</t>
        </is>
      </c>
      <c r="C10" s="8" t="inlineStr">
        <is>
          <t>JST-SH 6-Pin 1.0mm Pitch SMD Connector</t>
        </is>
      </c>
      <c r="D10" s="8" t="inlineStr">
        <is>
          <t>SM06B-SRSS-TB</t>
        </is>
      </c>
      <c r="E10" s="7" t="inlineStr">
        <is>
          <t>1.0mm SMD Horizontal</t>
        </is>
      </c>
      <c r="F10" s="8" t="inlineStr">
        <is>
          <t>JST</t>
        </is>
      </c>
      <c r="G10" s="7" t="n">
        <v>1</v>
      </c>
      <c r="H10" s="9" t="n">
        <v>18.5</v>
      </c>
      <c r="I10" s="9">
        <f>G10*H10</f>
        <v/>
      </c>
    </row>
    <row r="11">
      <c r="A11" s="4" t="n">
        <v>7</v>
      </c>
      <c r="B11" s="4" t="inlineStr">
        <is>
          <t>PCB2</t>
        </is>
      </c>
      <c r="C11" s="5" t="inlineStr">
        <is>
          <t>Custom 2-Layer FR4 Mini Daughterboard (22x18mm, Black Soldermask)</t>
        </is>
      </c>
      <c r="D11" s="5" t="inlineStr">
        <is>
          <t>URI-OPT-V2.0</t>
        </is>
      </c>
      <c r="E11" s="4" t="inlineStr">
        <is>
          <t>Custom PCB Fab</t>
        </is>
      </c>
      <c r="F11" s="5" t="inlineStr">
        <is>
          <t>JLCPCB / PCBWay</t>
        </is>
      </c>
      <c r="G11" s="4" t="n">
        <v>1</v>
      </c>
      <c r="H11" s="6" t="n">
        <v>85</v>
      </c>
      <c r="I11" s="6">
        <f>G11*H11</f>
        <v/>
      </c>
    </row>
    <row r="12">
      <c r="A12" s="10" t="inlineStr">
        <is>
          <t>SUBTOTAL HARDWARE FABRICATION &amp; ASSEMBLY COST</t>
        </is>
      </c>
      <c r="I12" s="11">
        <f>SUM(I5:I11)</f>
        <v/>
      </c>
    </row>
  </sheetData>
  <mergeCells count="3">
    <mergeCell ref="A12:H12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/>
  <cols>
    <col width="52" customWidth="1" min="1" max="1"/>
    <col width="78" customWidth="1" min="2" max="2"/>
    <col width="29" customWidth="1" min="3" max="3"/>
    <col width="12" customWidth="1" min="4" max="4"/>
    <col width="36" customWidth="1" min="5" max="5"/>
  </cols>
  <sheetData>
    <row r="1">
      <c r="A1" s="1" t="inlineStr">
        <is>
          <t>URI SENSE - SYSTEM LEVEL COST &amp; HARDWARE BOM ROLLUP</t>
        </is>
      </c>
    </row>
    <row r="2">
      <c r="A2" s="2" t="inlineStr">
        <is>
          <t>Complete Point-of-Care Diagnostic Device BOM Rollup (Electronics + Optics + Electro-Mechanics) | Stage 2 Final</t>
        </is>
      </c>
    </row>
    <row r="3"/>
    <row r="4">
      <c r="A4" s="12" t="inlineStr">
        <is>
          <t>Subsystem Category</t>
        </is>
      </c>
      <c r="B4" s="12" t="inlineStr">
        <is>
          <t>Primary Assembly / Modules Included</t>
        </is>
      </c>
      <c r="C4" s="12" t="inlineStr">
        <is>
          <t>Direct Reference Sheet</t>
        </is>
      </c>
      <c r="D4" s="12" t="inlineStr">
        <is>
          <t>Quantity</t>
        </is>
      </c>
      <c r="E4" s="12" t="inlineStr">
        <is>
          <t>Subtotal Cost (INR)</t>
        </is>
      </c>
    </row>
    <row r="5">
      <c r="A5" s="5" t="inlineStr">
        <is>
          <t>Main Motherboard PCBA</t>
        </is>
      </c>
      <c r="B5" s="5" t="inlineStr">
        <is>
          <t>ESP32-S3, Dual Regulators, TP4056 Charger, DRV8837 Driver, Custom PCB</t>
        </is>
      </c>
      <c r="C5" s="4" t="inlineStr">
        <is>
          <t>Mainboard BOM</t>
        </is>
      </c>
      <c r="D5" s="4" t="n">
        <v>1</v>
      </c>
      <c r="E5" s="6">
        <f>'Mainboard BOM'!I41</f>
        <v/>
      </c>
    </row>
    <row r="6">
      <c r="A6" s="8" t="inlineStr">
        <is>
          <t>Optical Sensing Daughterboard PCBA</t>
        </is>
      </c>
      <c r="B6" s="8" t="inlineStr">
        <is>
          <t>ams AS7341 11-Channel Spectral Sensor, High-CRI Luxeon LED, Custom PCB</t>
        </is>
      </c>
      <c r="C6" s="7" t="inlineStr">
        <is>
          <t>Optical Daughterboard BOM</t>
        </is>
      </c>
      <c r="D6" s="7" t="n">
        <v>1</v>
      </c>
      <c r="E6" s="9">
        <f>'Optical Daughterboard BOM'!I12</f>
        <v/>
      </c>
    </row>
    <row r="7">
      <c r="A7" s="5" t="inlineStr">
        <is>
          <t>Actuator &amp; Electro-Mechanics</t>
        </is>
      </c>
      <c r="B7" s="5" t="inlineStr">
        <is>
          <t>6V N20 Micro Metal Gear Motor (100 RPM) + Micro Endstop Switch</t>
        </is>
      </c>
      <c r="C7" s="4" t="inlineStr">
        <is>
          <t>Off-the-shelf Subassembly</t>
        </is>
      </c>
      <c r="D7" s="4" t="n">
        <v>1</v>
      </c>
      <c r="E7" s="6" t="n">
        <v>240</v>
      </c>
    </row>
    <row r="8">
      <c r="A8" s="8" t="inlineStr">
        <is>
          <t>Optical Isolation &amp; Mechanical Chassis</t>
        </is>
      </c>
      <c r="B8" s="8" t="inlineStr">
        <is>
          <t>High-Impact ABS/PETG Light-Tight Enclosure (3D Additive / Injection Molds)</t>
        </is>
      </c>
      <c r="C8" s="7" t="inlineStr">
        <is>
          <t>Mechanical Enclosure</t>
        </is>
      </c>
      <c r="D8" s="7" t="n">
        <v>1</v>
      </c>
      <c r="E8" s="9" t="n">
        <v>185</v>
      </c>
    </row>
    <row r="9">
      <c r="A9" s="5" t="inlineStr">
        <is>
          <t>Cable Harnessing &amp; Reagents Carrier</t>
        </is>
      </c>
      <c r="B9" s="5" t="inlineStr">
        <is>
          <t>6-Pin JST-SH Shielded Cable + Sliding Reagent Test Strip Tray</t>
        </is>
      </c>
      <c r="C9" s="4" t="inlineStr">
        <is>
          <t>Harness &amp; Fasteners</t>
        </is>
      </c>
      <c r="D9" s="4" t="n">
        <v>1</v>
      </c>
      <c r="E9" s="6" t="n">
        <v>65</v>
      </c>
    </row>
    <row r="10">
      <c r="A10" s="8" t="inlineStr">
        <is>
          <t>Rechargeable Power Source</t>
        </is>
      </c>
      <c r="B10" s="8" t="inlineStr">
        <is>
          <t>3.7V 1200mAh Single-Cell LiPo Battery Pack with JST-PH Lead</t>
        </is>
      </c>
      <c r="C10" s="7" t="inlineStr">
        <is>
          <t>Power Storage</t>
        </is>
      </c>
      <c r="D10" s="7" t="n">
        <v>1</v>
      </c>
      <c r="E10" s="9" t="n">
        <v>280</v>
      </c>
    </row>
    <row r="11">
      <c r="A11" s="13" t="inlineStr">
        <is>
          <t>TOTAL UNIT PROTOTYPE COST (POINT-OF-CARE DEVICE)</t>
        </is>
      </c>
      <c r="E11" s="14">
        <f>SUM(E5:E10)</f>
        <v/>
      </c>
    </row>
  </sheetData>
  <mergeCells count="3">
    <mergeCell ref="A2:E2"/>
    <mergeCell ref="A1:E1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2026-10-25T12:03:11Z</dcterms:created>
  <dcterms:modified xmlns:dcterms="http://purl.org/dc/terms/" xmlns:xsi="http://www.w3.org/2001/XMLSchema-instance" xsi:type="dcterms:W3CDTF">2026-10-25T12:03:11Z</dcterms:modified>
</cp:coreProperties>
</file>